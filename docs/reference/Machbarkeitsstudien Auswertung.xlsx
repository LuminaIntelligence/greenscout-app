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estplatte Dennis/Nextcloud Neu EDS/PV-Batterie/GreenScout-Verein/"/>
    </mc:Choice>
  </mc:AlternateContent>
  <xr:revisionPtr revIDLastSave="0" documentId="13_ncr:1_{15845ED6-99AC-824F-AFFC-EFB735E0B0B3}" xr6:coauthVersionLast="47" xr6:coauthVersionMax="47" xr10:uidLastSave="{00000000-0000-0000-0000-000000000000}"/>
  <bookViews>
    <workbookView xWindow="0" yWindow="680" windowWidth="29740" windowHeight="19980" xr2:uid="{F19C360F-87F4-684E-9D87-0294685A9062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B45" i="2"/>
  <c r="B44" i="2"/>
  <c r="B43" i="2"/>
  <c r="B34" i="2"/>
  <c r="B33" i="2"/>
  <c r="C36" i="2" s="1"/>
  <c r="F21" i="2" s="1"/>
  <c r="F32" i="2"/>
  <c r="G35" i="2" s="1"/>
  <c r="B24" i="2"/>
  <c r="B23" i="2"/>
  <c r="B22" i="2"/>
  <c r="B21" i="2"/>
  <c r="C27" i="2" l="1"/>
  <c r="C28" i="2" s="1"/>
  <c r="F22" i="2" s="1"/>
  <c r="G24" i="2" s="1"/>
  <c r="C48" i="2"/>
  <c r="C26" i="2" l="1"/>
</calcChain>
</file>

<file path=xl/sharedStrings.xml><?xml version="1.0" encoding="utf-8"?>
<sst xmlns="http://schemas.openxmlformats.org/spreadsheetml/2006/main" count="44" uniqueCount="42">
  <si>
    <t>Stromverkauf PV Anlage</t>
  </si>
  <si>
    <t>Anlagengrösse kWp</t>
  </si>
  <si>
    <t>Pachtzahlung €/kWp</t>
  </si>
  <si>
    <t>Versorger Stromkosten €/kWh</t>
  </si>
  <si>
    <t>PV Stromverkauf € /kWh</t>
  </si>
  <si>
    <t>Pacht-Vertragslaufzeit / Jahren</t>
  </si>
  <si>
    <t>Pachtzahlung</t>
  </si>
  <si>
    <t>Pachteinnahme</t>
  </si>
  <si>
    <t>Gesamtersparnis Strom auf 20 Jahre</t>
  </si>
  <si>
    <t>Pachtzahlung/-einnahmen</t>
  </si>
  <si>
    <t>Stromkosten Versorger</t>
  </si>
  <si>
    <t>Ersparnis</t>
  </si>
  <si>
    <t>Versorger -Stromkosten</t>
  </si>
  <si>
    <t>PV Abnahme kWh</t>
  </si>
  <si>
    <t>Stromersparniss €/ Jahr</t>
  </si>
  <si>
    <t>PV Stromerzeugung kWh/Jahr</t>
  </si>
  <si>
    <t>Jahresertrag kWh auf 20 Jahre</t>
  </si>
  <si>
    <t>Reduktions-Stromkosten</t>
  </si>
  <si>
    <t>Verbrauch in kWh allgemien</t>
  </si>
  <si>
    <t>Eigentümer</t>
  </si>
  <si>
    <t>PV Anlagedaten</t>
  </si>
  <si>
    <t>Stromverbrauch Gesamt Eigentümer /Jahr</t>
  </si>
  <si>
    <t>Stromkosten Abnahme PV  Anlagen €</t>
  </si>
  <si>
    <t>Stromabnahme PV Anlage kWh/Jahr</t>
  </si>
  <si>
    <t>Stromverbrauch allgemein kWh/Jahr</t>
  </si>
  <si>
    <t>PV StromabnhmeEigenverbrauch- kWh/Jahr</t>
  </si>
  <si>
    <t>PV Stromerzeugung PV-Generatorenergie kWh / Jahr</t>
  </si>
  <si>
    <t>Ergebnis</t>
  </si>
  <si>
    <t>Ersparnis im im Monat € /kWh</t>
  </si>
  <si>
    <t>Ersparnis in 20 Jahren € /kWh</t>
  </si>
  <si>
    <t>Gesamter wirtschaftlicher Vorteil</t>
  </si>
  <si>
    <t>Ersparnis im im Jahr</t>
  </si>
  <si>
    <t xml:space="preserve">Berechnungsschritte: </t>
  </si>
  <si>
    <t>1. Ersparnis pro Jahr berechnen</t>
  </si>
  <si>
    <t>Gesamterzeugung / 20 Jahre</t>
  </si>
  <si>
    <t xml:space="preserve">  = (0,25 - 0,215) * Eigenverbrauch</t>
  </si>
  <si>
    <t>2. Ersparnis pro Monat berechnen</t>
  </si>
  <si>
    <t xml:space="preserve">  = Ersparnis pro Jahr / 12</t>
  </si>
  <si>
    <t xml:space="preserve">3. Ersparnis in 20 Jahren </t>
  </si>
  <si>
    <t xml:space="preserve">  = Ersparnis pro Jahr * 20</t>
  </si>
  <si>
    <t>4. Gesamtersparnis berechnen</t>
  </si>
  <si>
    <t xml:space="preserve">  = Ersparnis in 20 Jahren + Pacht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</si>
</sst>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#,##0\ &quot;€&quot;;\-#,##0\ &quot;€&quot;"/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  <numFmt numFmtId="165" formatCode="0.00_ ;\-0.00\ "/>
    <numFmt numFmtId="166" formatCode="#,##0.00\ &quot;€&quot;"/>
    <numFmt numFmtId="167" formatCode="#,##0\ &quot;€&quot;"/>
    <numFmt numFmtId="168" formatCode="#,##0.00\ _€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44" fontId="3" fillId="0" borderId="0" xfId="1" applyFont="1"/>
    <xf numFmtId="3" fontId="3" fillId="0" borderId="0" xfId="0" applyNumberFormat="1" applyFont="1" applyAlignment="1">
      <alignment horizontal="left"/>
    </xf>
    <xf numFmtId="165" fontId="3" fillId="0" borderId="0" xfId="1" applyNumberFormat="1" applyFont="1" applyAlignment="1">
      <alignment horizontal="left" vertical="center"/>
    </xf>
    <xf numFmtId="166" fontId="3" fillId="0" borderId="0" xfId="1" applyNumberFormat="1" applyFont="1" applyAlignment="1">
      <alignment horizontal="left" vertical="center"/>
    </xf>
    <xf numFmtId="166" fontId="4" fillId="2" borderId="0" xfId="1" applyNumberFormat="1" applyFont="1" applyFill="1" applyAlignment="1">
      <alignment horizontal="left"/>
    </xf>
    <xf numFmtId="167" fontId="4" fillId="2" borderId="0" xfId="0" applyNumberFormat="1" applyFont="1" applyFill="1" applyAlignment="1">
      <alignment horizontal="left"/>
    </xf>
    <xf numFmtId="166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3" fontId="3" fillId="0" borderId="0" xfId="1" applyNumberFormat="1" applyFont="1" applyAlignment="1">
      <alignment horizontal="left"/>
    </xf>
    <xf numFmtId="0" fontId="4" fillId="3" borderId="0" xfId="0" applyFont="1" applyFill="1"/>
    <xf numFmtId="0" fontId="0" fillId="0" borderId="0" xfId="0" applyAlignment="1">
      <alignment horizontal="left"/>
    </xf>
    <xf numFmtId="3" fontId="4" fillId="2" borderId="0" xfId="0" applyNumberFormat="1" applyFont="1" applyFill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5" fontId="4" fillId="2" borderId="0" xfId="1" applyNumberFormat="1" applyFont="1" applyFill="1" applyAlignment="1">
      <alignment horizontal="left"/>
    </xf>
    <xf numFmtId="0" fontId="3" fillId="4" borderId="0" xfId="0" applyFont="1" applyFill="1"/>
    <xf numFmtId="167" fontId="3" fillId="4" borderId="0" xfId="0" applyNumberFormat="1" applyFont="1" applyFill="1" applyAlignment="1">
      <alignment horizontal="left"/>
    </xf>
    <xf numFmtId="167" fontId="4" fillId="5" borderId="0" xfId="0" applyNumberFormat="1" applyFont="1" applyFill="1" applyAlignment="1">
      <alignment horizontal="left"/>
    </xf>
    <xf numFmtId="0" fontId="0" fillId="6" borderId="0" xfId="0" applyFill="1"/>
    <xf numFmtId="0" fontId="3" fillId="6" borderId="0" xfId="0" applyFont="1" applyFill="1"/>
    <xf numFmtId="0" fontId="3" fillId="4" borderId="0" xfId="0" applyFont="1" applyFill="1" applyAlignment="1">
      <alignment horizontal="left"/>
    </xf>
    <xf numFmtId="0" fontId="4" fillId="6" borderId="0" xfId="0" applyFont="1" applyFill="1"/>
    <xf numFmtId="3" fontId="3" fillId="6" borderId="0" xfId="0" applyNumberFormat="1" applyFont="1" applyFill="1" applyAlignment="1">
      <alignment horizontal="left"/>
    </xf>
    <xf numFmtId="166" fontId="3" fillId="6" borderId="0" xfId="0" applyNumberFormat="1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2194-6B47-403D-9717-CC2A3764A378}">
  <dimension ref="A1:J59"/>
  <sheetViews>
    <sheetView tabSelected="1" zoomScale="70" zoomScaleNormal="70" workbookViewId="0">
      <selection activeCell="C13" sqref="C13"/>
    </sheetView>
  </sheetViews>
  <sheetFormatPr baseColWidth="10" defaultRowHeight="16" x14ac:dyDescent="0.2"/>
  <cols>
    <col min="1" max="1" width="62.6640625" customWidth="1"/>
    <col min="2" max="2" width="18.83203125" customWidth="1"/>
    <col min="3" max="3" width="27.1640625" customWidth="1"/>
    <col min="5" max="5" width="50.1640625" bestFit="1" customWidth="1"/>
    <col min="6" max="6" width="39.5" customWidth="1"/>
    <col min="7" max="7" width="26.6640625" bestFit="1" customWidth="1"/>
  </cols>
  <sheetData>
    <row r="1" spans="1:10" ht="19" x14ac:dyDescent="0.25">
      <c r="B1" s="23" t="s">
        <v>20</v>
      </c>
      <c r="C1" s="23" t="s">
        <v>19</v>
      </c>
    </row>
    <row r="2" spans="1:10" x14ac:dyDescent="0.2">
      <c r="E2" s="28" t="s">
        <v>32</v>
      </c>
      <c r="F2" s="28"/>
    </row>
    <row r="3" spans="1:10" ht="18" x14ac:dyDescent="0.2">
      <c r="A3" s="31" t="s">
        <v>1</v>
      </c>
      <c r="B3" s="32">
        <v>0</v>
      </c>
      <c r="C3" s="29"/>
      <c r="D3" s="2"/>
      <c r="E3" s="29" t="s">
        <v>33</v>
      </c>
      <c r="F3" s="29" t="s">
        <v>35</v>
      </c>
      <c r="G3" s="2"/>
      <c r="H3" s="2"/>
      <c r="I3" s="2"/>
      <c r="J3" s="2"/>
    </row>
    <row r="4" spans="1:10" ht="18" x14ac:dyDescent="0.2">
      <c r="A4" s="31"/>
      <c r="B4" s="32"/>
      <c r="C4" s="29"/>
      <c r="D4" s="2"/>
      <c r="E4" s="29" t="s">
        <v>36</v>
      </c>
      <c r="F4" s="29" t="s">
        <v>37</v>
      </c>
      <c r="G4" s="2"/>
      <c r="H4" s="2"/>
      <c r="I4" s="2"/>
      <c r="J4" s="2"/>
    </row>
    <row r="5" spans="1:10" ht="18" x14ac:dyDescent="0.2">
      <c r="A5" s="31" t="s">
        <v>26</v>
      </c>
      <c r="B5" s="32">
        <v>0</v>
      </c>
      <c r="C5" s="29"/>
      <c r="D5" s="2"/>
      <c r="E5" s="29" t="s">
        <v>38</v>
      </c>
      <c r="F5" s="29" t="s">
        <v>39</v>
      </c>
      <c r="G5" s="2"/>
      <c r="H5" s="2"/>
      <c r="I5" s="2"/>
      <c r="J5" s="2"/>
    </row>
    <row r="6" spans="1:10" ht="18" x14ac:dyDescent="0.2">
      <c r="A6" s="31" t="s">
        <v>25</v>
      </c>
      <c r="B6" s="32">
        <v>0</v>
      </c>
      <c r="C6" s="29"/>
      <c r="D6" s="2"/>
      <c r="E6" s="29" t="s">
        <v>40</v>
      </c>
      <c r="F6" s="29" t="s">
        <v>41</v>
      </c>
      <c r="G6" s="2"/>
      <c r="H6" s="2"/>
      <c r="I6" s="2"/>
      <c r="J6" s="2"/>
    </row>
    <row r="7" spans="1:10" ht="18" x14ac:dyDescent="0.2">
      <c r="A7" s="31" t="s">
        <v>4</v>
      </c>
      <c r="B7" s="33">
        <v>0</v>
      </c>
      <c r="C7" s="29"/>
      <c r="D7" s="2"/>
      <c r="E7" s="29"/>
      <c r="F7" s="29"/>
      <c r="G7" s="2"/>
      <c r="H7" s="2"/>
      <c r="I7" s="2"/>
      <c r="J7" s="2"/>
    </row>
    <row r="8" spans="1:10" ht="18" x14ac:dyDescent="0.2">
      <c r="A8" s="31"/>
      <c r="B8" s="33"/>
      <c r="C8" s="29"/>
      <c r="D8" s="2"/>
      <c r="E8" s="35"/>
      <c r="F8" s="35"/>
      <c r="G8" s="2"/>
      <c r="H8" s="2"/>
      <c r="I8" s="2"/>
      <c r="J8" s="2"/>
    </row>
    <row r="9" spans="1:10" ht="18" x14ac:dyDescent="0.2">
      <c r="A9" s="31" t="s">
        <v>21</v>
      </c>
      <c r="B9" s="28"/>
      <c r="C9" s="32">
        <v>0</v>
      </c>
      <c r="D9" s="2"/>
      <c r="E9" s="2"/>
      <c r="F9" s="2"/>
      <c r="G9" s="2"/>
      <c r="H9" s="2"/>
      <c r="I9" s="2"/>
      <c r="J9" s="2"/>
    </row>
    <row r="10" spans="1:10" ht="18" x14ac:dyDescent="0.2">
      <c r="A10" s="34" t="s">
        <v>3</v>
      </c>
      <c r="B10" s="33"/>
      <c r="C10" s="33">
        <v>0</v>
      </c>
      <c r="D10" s="2"/>
      <c r="E10" s="2"/>
      <c r="F10" s="2"/>
      <c r="G10" s="2"/>
      <c r="H10" s="2"/>
      <c r="I10" s="2"/>
      <c r="J10" s="2"/>
    </row>
    <row r="11" spans="1:10" ht="18" x14ac:dyDescent="0.2">
      <c r="A11" s="31"/>
      <c r="B11" s="33"/>
      <c r="C11" s="29"/>
      <c r="D11" s="2"/>
      <c r="E11" s="2"/>
      <c r="F11" s="2"/>
      <c r="G11" s="2"/>
      <c r="H11" s="2"/>
      <c r="I11" s="2"/>
      <c r="J11" s="2"/>
    </row>
    <row r="12" spans="1:10" ht="18" x14ac:dyDescent="0.2">
      <c r="A12" s="31" t="s">
        <v>2</v>
      </c>
      <c r="B12" s="33">
        <v>100</v>
      </c>
      <c r="C12" s="29"/>
      <c r="D12" s="2"/>
      <c r="E12" s="2"/>
      <c r="F12" s="2"/>
      <c r="G12" s="2"/>
      <c r="H12" s="2"/>
      <c r="I12" s="2"/>
      <c r="J12" s="2"/>
    </row>
    <row r="13" spans="1:10" ht="18" x14ac:dyDescent="0.2">
      <c r="A13" s="31" t="s">
        <v>5</v>
      </c>
      <c r="B13" s="32">
        <v>20</v>
      </c>
      <c r="C13" s="29"/>
      <c r="D13" s="2"/>
      <c r="E13" s="2"/>
      <c r="F13" s="2"/>
      <c r="G13" s="2"/>
      <c r="H13" s="2"/>
      <c r="I13" s="2"/>
      <c r="J13" s="2"/>
    </row>
    <row r="14" spans="1:10" ht="18" x14ac:dyDescent="0.2">
      <c r="A14" s="2"/>
      <c r="B14" s="9"/>
      <c r="C14" s="2"/>
      <c r="D14" s="2"/>
      <c r="E14" s="2"/>
      <c r="F14" s="2"/>
      <c r="G14" s="2"/>
      <c r="H14" s="2"/>
      <c r="I14" s="2"/>
      <c r="J14" s="2"/>
    </row>
    <row r="15" spans="1:10" ht="18" x14ac:dyDescent="0.2">
      <c r="A15" s="2"/>
      <c r="B15" s="9"/>
      <c r="C15" s="2"/>
      <c r="D15" s="2"/>
      <c r="E15" s="2"/>
      <c r="F15" s="2"/>
      <c r="G15" s="2"/>
      <c r="H15" s="2"/>
      <c r="I15" s="2"/>
      <c r="J15" s="2"/>
    </row>
    <row r="16" spans="1:10" ht="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8" x14ac:dyDescent="0.2">
      <c r="A19" s="19" t="s">
        <v>14</v>
      </c>
      <c r="B19" s="2"/>
      <c r="C19" s="2"/>
      <c r="D19" s="2"/>
      <c r="E19" s="19" t="s">
        <v>30</v>
      </c>
      <c r="F19" s="3"/>
      <c r="G19" s="3"/>
      <c r="H19" s="2"/>
      <c r="I19" s="2"/>
      <c r="J19" s="2"/>
    </row>
    <row r="20" spans="1:10" ht="18" x14ac:dyDescent="0.2">
      <c r="A20" s="2"/>
      <c r="B20" s="14"/>
      <c r="C20" s="2"/>
      <c r="D20" s="2"/>
      <c r="E20" s="2"/>
      <c r="F20" s="3"/>
      <c r="G20" s="3"/>
      <c r="H20" s="2"/>
      <c r="I20" s="2"/>
      <c r="J20" s="2"/>
    </row>
    <row r="21" spans="1:10" ht="18" x14ac:dyDescent="0.2">
      <c r="A21" s="2" t="s">
        <v>12</v>
      </c>
      <c r="B21" s="14">
        <f>C10</f>
        <v>0</v>
      </c>
      <c r="C21" s="2"/>
      <c r="D21" s="2"/>
      <c r="E21" s="2" t="s">
        <v>7</v>
      </c>
      <c r="F21" s="22">
        <f>C36</f>
        <v>0</v>
      </c>
      <c r="G21" s="15"/>
      <c r="H21" s="2"/>
      <c r="I21" s="2"/>
      <c r="J21" s="2"/>
    </row>
    <row r="22" spans="1:10" ht="18" x14ac:dyDescent="0.2">
      <c r="A22" s="2" t="s">
        <v>0</v>
      </c>
      <c r="B22" s="14">
        <f>B7</f>
        <v>0</v>
      </c>
      <c r="C22" s="2"/>
      <c r="D22" s="2"/>
      <c r="E22" s="2" t="s">
        <v>8</v>
      </c>
      <c r="F22" s="22">
        <f>C28</f>
        <v>0</v>
      </c>
      <c r="G22" s="15"/>
      <c r="H22" s="2"/>
      <c r="I22" s="2"/>
      <c r="J22" s="2"/>
    </row>
    <row r="23" spans="1:10" ht="18" x14ac:dyDescent="0.2">
      <c r="A23" s="2" t="s">
        <v>18</v>
      </c>
      <c r="B23" s="9">
        <f>C9/12</f>
        <v>0</v>
      </c>
      <c r="C23" s="2"/>
      <c r="D23" s="2"/>
      <c r="E23" s="2"/>
      <c r="F23" s="15"/>
      <c r="G23" s="15"/>
      <c r="H23" s="2"/>
      <c r="I23" s="2"/>
      <c r="J23" s="2"/>
    </row>
    <row r="24" spans="1:10" ht="18" x14ac:dyDescent="0.2">
      <c r="A24" s="2" t="s">
        <v>13</v>
      </c>
      <c r="B24" s="9">
        <f>B6/12</f>
        <v>0</v>
      </c>
      <c r="C24" s="2"/>
      <c r="D24" s="2"/>
      <c r="E24" s="4" t="s">
        <v>11</v>
      </c>
      <c r="F24" s="16"/>
      <c r="G24" s="13">
        <f>F21+F22</f>
        <v>0</v>
      </c>
      <c r="H24" s="2"/>
      <c r="I24" s="2"/>
      <c r="J24" s="2"/>
    </row>
    <row r="25" spans="1:10" ht="18" x14ac:dyDescent="0.2">
      <c r="A25" s="2"/>
      <c r="B25" s="14"/>
      <c r="C25" s="2"/>
      <c r="D25" s="2"/>
      <c r="F25" s="20"/>
      <c r="G25" s="20"/>
      <c r="H25" s="2"/>
      <c r="I25" s="2"/>
      <c r="J25" s="2"/>
    </row>
    <row r="26" spans="1:10" ht="18" x14ac:dyDescent="0.2">
      <c r="A26" s="4" t="s">
        <v>28</v>
      </c>
      <c r="B26" s="14"/>
      <c r="C26" s="13">
        <f>C27/12</f>
        <v>0</v>
      </c>
      <c r="D26" s="2"/>
      <c r="E26" s="2"/>
      <c r="F26" s="3"/>
      <c r="G26" s="3"/>
      <c r="H26" s="2"/>
      <c r="I26" s="2"/>
      <c r="J26" s="2"/>
    </row>
    <row r="27" spans="1:10" ht="18" x14ac:dyDescent="0.2">
      <c r="A27" s="4" t="s">
        <v>31</v>
      </c>
      <c r="B27" s="14"/>
      <c r="C27" s="27">
        <f>(B21-B22)*B6</f>
        <v>0</v>
      </c>
      <c r="D27" s="2"/>
      <c r="E27" s="2"/>
      <c r="F27" s="3"/>
      <c r="G27" s="3"/>
      <c r="H27" s="2"/>
      <c r="I27" s="2"/>
      <c r="J27" s="2"/>
    </row>
    <row r="28" spans="1:10" ht="18" x14ac:dyDescent="0.2">
      <c r="A28" s="25" t="s">
        <v>29</v>
      </c>
      <c r="B28" s="2"/>
      <c r="C28" s="26">
        <f>C27*20</f>
        <v>0</v>
      </c>
      <c r="D28" s="2"/>
      <c r="E28" s="2"/>
      <c r="F28" s="3"/>
      <c r="G28" s="3"/>
      <c r="H28" s="2"/>
      <c r="I28" s="2"/>
      <c r="J28" s="2"/>
    </row>
    <row r="29" spans="1:10" ht="18" x14ac:dyDescent="0.2">
      <c r="A29" s="1"/>
      <c r="B29" s="1"/>
      <c r="C29" s="7"/>
      <c r="D29" s="1"/>
      <c r="E29" s="2"/>
      <c r="F29" s="3"/>
      <c r="G29" s="3"/>
    </row>
    <row r="30" spans="1:10" ht="18" x14ac:dyDescent="0.2">
      <c r="A30" s="1"/>
      <c r="B30" s="1"/>
      <c r="C30" s="7"/>
      <c r="D30" s="1"/>
      <c r="E30" s="19" t="s">
        <v>16</v>
      </c>
      <c r="F30" s="3"/>
      <c r="G30" s="3"/>
    </row>
    <row r="31" spans="1:10" ht="18" x14ac:dyDescent="0.2">
      <c r="A31" s="19" t="s">
        <v>6</v>
      </c>
      <c r="B31" s="2"/>
      <c r="C31" s="2"/>
      <c r="D31" s="2"/>
      <c r="E31" s="2"/>
      <c r="F31" s="3"/>
      <c r="G31" s="3"/>
    </row>
    <row r="32" spans="1:10" ht="18" x14ac:dyDescent="0.2">
      <c r="A32" s="2"/>
      <c r="B32" s="5"/>
      <c r="C32" s="2"/>
      <c r="D32" s="2"/>
      <c r="E32" s="2" t="s">
        <v>15</v>
      </c>
      <c r="F32" s="9">
        <f>B5</f>
        <v>0</v>
      </c>
      <c r="G32" s="3"/>
    </row>
    <row r="33" spans="1:7" ht="18" x14ac:dyDescent="0.2">
      <c r="A33" s="2" t="s">
        <v>1</v>
      </c>
      <c r="B33" s="10">
        <f>B3</f>
        <v>0</v>
      </c>
      <c r="C33" s="8"/>
      <c r="D33" s="2"/>
      <c r="E33" s="2"/>
      <c r="F33" s="3"/>
      <c r="G33" s="3"/>
    </row>
    <row r="34" spans="1:7" ht="18" x14ac:dyDescent="0.2">
      <c r="A34" s="2" t="s">
        <v>2</v>
      </c>
      <c r="B34" s="11">
        <f>B12</f>
        <v>100</v>
      </c>
      <c r="C34" s="8"/>
      <c r="D34" s="2"/>
      <c r="E34" s="2"/>
      <c r="F34" s="3"/>
      <c r="G34" s="3"/>
    </row>
    <row r="35" spans="1:7" ht="18" x14ac:dyDescent="0.2">
      <c r="A35" s="2"/>
      <c r="B35" s="8"/>
      <c r="D35" s="2"/>
      <c r="E35" s="2"/>
      <c r="F35" s="30" t="s">
        <v>34</v>
      </c>
      <c r="G35" s="21">
        <f>F32*20</f>
        <v>0</v>
      </c>
    </row>
    <row r="36" spans="1:7" ht="18" x14ac:dyDescent="0.2">
      <c r="A36" s="4" t="s">
        <v>9</v>
      </c>
      <c r="B36" s="2"/>
      <c r="C36" s="12">
        <f>B33*B34</f>
        <v>0</v>
      </c>
      <c r="D36" s="2"/>
      <c r="E36" s="2"/>
      <c r="F36" s="2"/>
      <c r="G36" s="2"/>
    </row>
    <row r="37" spans="1:7" ht="18" x14ac:dyDescent="0.2">
      <c r="A37" s="2"/>
      <c r="B37" s="2"/>
      <c r="C37" s="2"/>
      <c r="D37" s="2"/>
      <c r="E37" s="2"/>
      <c r="F37" s="2"/>
      <c r="G37" s="2"/>
    </row>
    <row r="38" spans="1:7" ht="19" x14ac:dyDescent="0.25">
      <c r="A38" s="2"/>
      <c r="B38" s="2"/>
      <c r="C38" s="2"/>
      <c r="D38" s="2"/>
      <c r="E38" s="6"/>
      <c r="F38" s="6"/>
      <c r="G38" s="6"/>
    </row>
    <row r="39" spans="1:7" ht="19" x14ac:dyDescent="0.25">
      <c r="A39" s="2"/>
      <c r="B39" s="2"/>
      <c r="C39" s="2"/>
      <c r="D39" s="2"/>
      <c r="E39" s="6"/>
      <c r="F39" s="6"/>
      <c r="G39" s="6"/>
    </row>
    <row r="40" spans="1:7" ht="19" x14ac:dyDescent="0.25">
      <c r="A40" s="5"/>
      <c r="B40" s="2"/>
      <c r="C40" s="2"/>
      <c r="D40" s="2"/>
      <c r="E40" s="6"/>
      <c r="F40" s="6"/>
      <c r="G40" s="6"/>
    </row>
    <row r="41" spans="1:7" ht="19" x14ac:dyDescent="0.25">
      <c r="A41" s="19" t="s">
        <v>17</v>
      </c>
      <c r="B41" s="2"/>
      <c r="C41" s="2"/>
      <c r="D41" s="2"/>
      <c r="E41" s="6"/>
      <c r="F41" s="6"/>
      <c r="G41" s="6"/>
    </row>
    <row r="42" spans="1:7" ht="19" x14ac:dyDescent="0.25">
      <c r="A42" s="2"/>
      <c r="B42" s="2"/>
      <c r="C42" s="2"/>
      <c r="D42" s="2"/>
      <c r="E42" s="6"/>
      <c r="F42" s="6"/>
      <c r="G42" s="6"/>
    </row>
    <row r="43" spans="1:7" ht="19" x14ac:dyDescent="0.25">
      <c r="A43" s="2" t="s">
        <v>10</v>
      </c>
      <c r="B43" s="17">
        <f>C10</f>
        <v>0</v>
      </c>
      <c r="C43" s="8"/>
      <c r="D43" s="2"/>
      <c r="E43" s="6"/>
      <c r="F43" s="6"/>
      <c r="G43" s="6"/>
    </row>
    <row r="44" spans="1:7" ht="19" x14ac:dyDescent="0.25">
      <c r="A44" s="2" t="s">
        <v>22</v>
      </c>
      <c r="B44" s="17">
        <f>B7</f>
        <v>0</v>
      </c>
      <c r="C44" s="8"/>
      <c r="D44" s="2"/>
      <c r="E44" s="6"/>
      <c r="F44" s="6"/>
      <c r="G44" s="6"/>
    </row>
    <row r="45" spans="1:7" ht="19" x14ac:dyDescent="0.25">
      <c r="A45" s="2" t="s">
        <v>23</v>
      </c>
      <c r="B45" s="18">
        <f>B6</f>
        <v>0</v>
      </c>
      <c r="C45" s="8"/>
      <c r="D45" s="2"/>
      <c r="E45" s="6"/>
      <c r="F45" s="6"/>
      <c r="G45" s="6"/>
    </row>
    <row r="46" spans="1:7" ht="19" x14ac:dyDescent="0.25">
      <c r="A46" s="2" t="s">
        <v>24</v>
      </c>
      <c r="B46" s="18">
        <f>C9</f>
        <v>0</v>
      </c>
      <c r="C46" s="8"/>
      <c r="D46" s="2"/>
      <c r="E46" s="6"/>
      <c r="F46" s="6"/>
      <c r="G46" s="6"/>
    </row>
    <row r="47" spans="1:7" ht="18" x14ac:dyDescent="0.2">
      <c r="A47" s="2"/>
      <c r="B47" s="8"/>
      <c r="C47" s="8"/>
      <c r="D47" s="2"/>
    </row>
    <row r="48" spans="1:7" ht="18" x14ac:dyDescent="0.2">
      <c r="A48" s="4" t="s">
        <v>27</v>
      </c>
      <c r="B48" s="8"/>
      <c r="C48" s="24">
        <f>B44-B43*12*(B45-B46)</f>
        <v>0</v>
      </c>
      <c r="D48" s="2"/>
    </row>
    <row r="49" spans="1:4" ht="18" x14ac:dyDescent="0.2">
      <c r="A49" s="2"/>
      <c r="B49" s="2"/>
      <c r="C49" s="2"/>
      <c r="D49" s="2"/>
    </row>
    <row r="50" spans="1:4" ht="18" x14ac:dyDescent="0.2">
      <c r="A50" s="2"/>
      <c r="B50" s="2"/>
      <c r="C50" s="2"/>
      <c r="D50" s="2"/>
    </row>
    <row r="51" spans="1:4" ht="19" x14ac:dyDescent="0.25">
      <c r="A51" s="6"/>
      <c r="B51" s="6"/>
      <c r="C51" s="6"/>
      <c r="D51" s="6"/>
    </row>
    <row r="52" spans="1:4" ht="19" x14ac:dyDescent="0.25">
      <c r="A52" s="6"/>
      <c r="B52" s="6"/>
      <c r="C52" s="6"/>
      <c r="D52" s="6"/>
    </row>
    <row r="53" spans="1:4" ht="19" x14ac:dyDescent="0.25">
      <c r="A53" s="6"/>
      <c r="B53" s="6"/>
      <c r="C53" s="6"/>
      <c r="D53" s="6"/>
    </row>
    <row r="54" spans="1:4" ht="19" x14ac:dyDescent="0.25">
      <c r="A54" s="6"/>
      <c r="B54" s="6"/>
      <c r="C54" s="6"/>
      <c r="D54" s="6"/>
    </row>
    <row r="55" spans="1:4" ht="19" x14ac:dyDescent="0.25">
      <c r="A55" s="6"/>
      <c r="B55" s="6"/>
      <c r="C55" s="6"/>
      <c r="D55" s="6"/>
    </row>
    <row r="56" spans="1:4" ht="19" x14ac:dyDescent="0.25">
      <c r="A56" s="6"/>
      <c r="B56" s="6"/>
      <c r="C56" s="6"/>
      <c r="D56" s="6"/>
    </row>
    <row r="57" spans="1:4" ht="19" x14ac:dyDescent="0.25">
      <c r="A57" s="6"/>
      <c r="B57" s="6"/>
      <c r="C57" s="6"/>
      <c r="D57" s="6"/>
    </row>
    <row r="58" spans="1:4" ht="19" x14ac:dyDescent="0.25">
      <c r="A58" s="6"/>
      <c r="B58" s="6"/>
      <c r="C58" s="6"/>
      <c r="D58" s="6"/>
    </row>
    <row r="59" spans="1:4" ht="19" x14ac:dyDescent="0.25">
      <c r="A59" s="6"/>
      <c r="B59" s="6"/>
      <c r="C59" s="6"/>
      <c r="D59" s="6"/>
    </row>
  </sheetData>
  <mergeCells count="1">
    <mergeCell ref="E8:F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Jaensch</dc:creator>
  <cp:lastModifiedBy>Dennis Jaensch</cp:lastModifiedBy>
  <dcterms:created xsi:type="dcterms:W3CDTF">2026-03-22T14:19:01Z</dcterms:created>
  <dcterms:modified xsi:type="dcterms:W3CDTF">2026-05-18T14:00:45Z</dcterms:modified>
</cp:coreProperties>
</file>